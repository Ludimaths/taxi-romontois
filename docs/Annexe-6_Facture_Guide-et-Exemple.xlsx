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Direction\Administration et Finances\Institutions PRUP\Transport\Appel d'offres transport 2025\Contrats - Annexes\"/>
    </mc:Choice>
  </mc:AlternateContent>
  <xr:revisionPtr revIDLastSave="0" documentId="8_{E8733AC2-1528-794F-8314-4AB230A7D366}" xr6:coauthVersionLast="47" xr6:coauthVersionMax="47" xr10:uidLastSave="{00000000-0000-0000-0000-000000000000}"/>
  <workbookProtection lockWindows="1"/>
  <bookViews>
    <workbookView xWindow="-110" yWindow="-110" windowWidth="19420" windowHeight="10300" tabRatio="746" xr2:uid="{00000000-000D-0000-FFFF-FFFF00000000}"/>
  </bookViews>
  <sheets>
    <sheet name="6a) Facture - Guide de lecture" sheetId="20" r:id="rId1"/>
    <sheet name=" 6b) Facture - Exemple" sheetId="19" r:id="rId2"/>
    <sheet name="A la carte" sheetId="13" state="hidden" r:id="rId3"/>
  </sheets>
  <definedNames>
    <definedName name="_xlnm.Print_Area" localSheetId="1">' 6b) Facture - Exemple'!$A$1:$H$47</definedName>
    <definedName name="_xlnm.Print_Area" localSheetId="0">'6a) Facture - Guide de lecture'!$A$1:$C$44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9" l="1"/>
  <c r="E17" i="19"/>
  <c r="E18" i="19"/>
  <c r="H17" i="19"/>
  <c r="H44" i="19"/>
  <c r="H45" i="19"/>
  <c r="H46" i="19"/>
</calcChain>
</file>

<file path=xl/sharedStrings.xml><?xml version="1.0" encoding="utf-8"?>
<sst xmlns="http://schemas.openxmlformats.org/spreadsheetml/2006/main" count="89" uniqueCount="78">
  <si>
    <t>Menu A la carte</t>
  </si>
  <si>
    <t>Logopédie/psychomotricité</t>
  </si>
  <si>
    <t>Gym/piscine</t>
  </si>
  <si>
    <t>Sortie culturelle</t>
  </si>
  <si>
    <t>Sortie sportive irrégulière</t>
  </si>
  <si>
    <t>Internat Jour férie</t>
  </si>
  <si>
    <t>Internat samedi</t>
  </si>
  <si>
    <t>Internat dimanche</t>
  </si>
  <si>
    <t>Autre</t>
  </si>
  <si>
    <t xml:space="preserve"> Nom ou logo de l'entreprise                                                                       </t>
  </si>
  <si>
    <t>Téléphone :</t>
  </si>
  <si>
    <t>N° TVA :</t>
  </si>
  <si>
    <t>IBAN:</t>
  </si>
  <si>
    <t>Facture N° :</t>
  </si>
  <si>
    <t>Total (sans TVA)</t>
  </si>
  <si>
    <t xml:space="preserve">TVA </t>
  </si>
  <si>
    <t>Total (avec TVA)</t>
  </si>
  <si>
    <t>Paiement à 30 jours</t>
  </si>
  <si>
    <t>Transports scolaires</t>
  </si>
  <si>
    <t>CRPS BUSSIGNY_LUNDI_ALLER-MATIN</t>
  </si>
  <si>
    <t>CRPS BUSSIGNY_LUNDI_RETOUR_MATIN</t>
  </si>
  <si>
    <t>Nb.total d'élève(s)</t>
  </si>
  <si>
    <t>Nom du champ</t>
  </si>
  <si>
    <t>Exemple</t>
  </si>
  <si>
    <t>Nom et prénom (Resp.facturation)</t>
  </si>
  <si>
    <t>Adresse</t>
  </si>
  <si>
    <t>ANNEXE 5b</t>
  </si>
  <si>
    <t>Description et informations attendues</t>
  </si>
  <si>
    <t>Nom de la tournée</t>
  </si>
  <si>
    <r>
      <t>Cette information indique le nombre de fois que la tournée a été réalisée de manière identique durant la période de facturation (mois).
Dans l'exemple ci-contre, la tournée du lundi retour matin s'est réalisée quatre fois au cours du mois correspondant à la facturation</t>
    </r>
    <r>
      <rPr>
        <sz val="11"/>
        <color rgb="FFFF0000"/>
        <rFont val="Calibri"/>
        <family val="2"/>
        <scheme val="minor"/>
      </rPr>
      <t>.</t>
    </r>
  </si>
  <si>
    <t>Nombre total de kilomètres de la tournée.
Cette distance représente le nombre de kilomètres entre le premier lieu de prise en charge et le lieu de destination.</t>
  </si>
  <si>
    <t>Nb. de tournées</t>
  </si>
  <si>
    <r>
      <t xml:space="preserve">Le coût est calculé de la façon suivante :
(Distance (kilomètres)    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  le prix/km (hors TVA))
</t>
    </r>
    <r>
      <rPr>
        <b/>
        <sz val="14"/>
        <color theme="1"/>
        <rFont val="Calibri"/>
        <family val="2"/>
        <scheme val="minor"/>
      </rPr>
      <t>+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((Durée (minutes) / 60)    </t>
    </r>
    <r>
      <rPr>
        <b/>
        <sz val="11"/>
        <color theme="1"/>
        <rFont val="Calibri"/>
        <family val="2"/>
        <scheme val="minor"/>
      </rPr>
      <t xml:space="preserve">x   </t>
    </r>
    <r>
      <rPr>
        <sz val="11"/>
        <color theme="1"/>
        <rFont val="Calibri"/>
        <family val="2"/>
        <scheme val="minor"/>
      </rPr>
      <t>le prix/heure (hors TVA))</t>
    </r>
  </si>
  <si>
    <t xml:space="preserve">Coût de la tournée (hors TVA)
</t>
  </si>
  <si>
    <t>Distance
(kilomètres)</t>
  </si>
  <si>
    <t>Nb.de tournées</t>
  </si>
  <si>
    <t xml:space="preserve">Coût de la tournée
(hors TVA)
</t>
  </si>
  <si>
    <t>Etablissement :</t>
  </si>
  <si>
    <t>Structure(s) de l'établissement :</t>
  </si>
  <si>
    <t>Adresse :</t>
  </si>
  <si>
    <t>Mois / année :</t>
  </si>
  <si>
    <t>Lot :</t>
  </si>
  <si>
    <t>Prix/km (hors TVA) :</t>
  </si>
  <si>
    <t>Prix/heure (hors TVA) :</t>
  </si>
  <si>
    <t>Informations de l’entreprise de transport</t>
  </si>
  <si>
    <t>FACTURE - GUIDE DE LECTURE</t>
  </si>
  <si>
    <r>
      <t>Nombre total d’élèves correspondants à l'établissement/la structure concerné.e par la facture. Dans l'exemple proposé, deux élèves sur trois correspondent à l'établissement/la structure concerné.e par la facture. 
Ainsi le coût de la tournée pour l'établissement/structure concerné.e.s es</t>
    </r>
    <r>
      <rPr>
        <sz val="11"/>
        <rFont val="Calibri"/>
        <family val="2"/>
        <scheme val="minor"/>
      </rPr>
      <t>t ajusté.</t>
    </r>
  </si>
  <si>
    <t>Coût de la tournée pour votre établissement/structure
(hors TVA)</t>
  </si>
  <si>
    <r>
      <t xml:space="preserve">Cette information indique le montant facturé à l'établissement/structure pour une tournée donnée. La somme de ces montants correspond au montant hors TVA de la prestation de service de votre entreprise pour l'établissement/structure concerné.e.
(Coût de la tournée (hors TVA)    </t>
    </r>
    <r>
      <rPr>
        <b/>
        <sz val="11"/>
        <color theme="1"/>
        <rFont val="Calibri"/>
        <family val="2"/>
        <scheme val="minor"/>
      </rPr>
      <t xml:space="preserve">/   </t>
    </r>
    <r>
      <rPr>
        <sz val="11"/>
        <color theme="1"/>
        <rFont val="Calibri"/>
        <family val="2"/>
        <scheme val="minor"/>
      </rPr>
      <t xml:space="preserve"> Nb.total d'élève(s))
</t>
    </r>
    <r>
      <rPr>
        <b/>
        <sz val="11"/>
        <color theme="1"/>
        <rFont val="Calibri"/>
        <family val="2"/>
        <scheme val="minor"/>
      </rPr>
      <t xml:space="preserve">x </t>
    </r>
    <r>
      <rPr>
        <sz val="11"/>
        <color theme="1"/>
        <rFont val="Calibri"/>
        <family val="2"/>
        <scheme val="minor"/>
      </rPr>
      <t>Nb.d'élève(s) de votre établissement /structure</t>
    </r>
    <r>
      <rPr>
        <b/>
        <sz val="11"/>
        <color theme="1"/>
        <rFont val="Calibri"/>
        <family val="2"/>
        <scheme val="minor"/>
      </rPr>
      <t xml:space="preserve">
x </t>
    </r>
    <r>
      <rPr>
        <sz val="11"/>
        <color theme="1"/>
        <rFont val="Calibri"/>
        <family val="2"/>
        <scheme val="minor"/>
      </rPr>
      <t xml:space="preserve">Nb. de tournées </t>
    </r>
  </si>
  <si>
    <t>IBAN :</t>
  </si>
  <si>
    <t>Prix/km (hors TVA):</t>
  </si>
  <si>
    <t>Informations en lien avec l’établissement/structure facturé.e</t>
  </si>
  <si>
    <t>Informations en lien avec les tournées opérées pour l’établissement/structure concerné.e</t>
  </si>
  <si>
    <t xml:space="preserve">Nom de l'établissement/structure :            </t>
  </si>
  <si>
    <t xml:space="preserve">Nom et prénom de la personne responsable de la facturation :         </t>
  </si>
  <si>
    <t xml:space="preserve">Adresse :   </t>
  </si>
  <si>
    <t xml:space="preserve">Nom de la tournée :        </t>
  </si>
  <si>
    <t>Nb. de tournées :</t>
  </si>
  <si>
    <t>Distance (kilomètres) :</t>
  </si>
  <si>
    <t>Coût de la tournée (hors TVA) :</t>
  </si>
  <si>
    <t>Nb. total d'élève(s) :</t>
  </si>
  <si>
    <t>Nb. d’élève(s) de votre établissement/structure :</t>
  </si>
  <si>
    <t>Coût de la tournée pour votre établissement/structure (hors TVA) :</t>
  </si>
  <si>
    <r>
      <t xml:space="preserve">Dans tous les cas, la facture de l’ETR doit </t>
    </r>
    <r>
      <rPr>
        <b/>
        <sz val="11"/>
        <color theme="1"/>
        <rFont val="Calibri"/>
        <family val="2"/>
        <scheme val="minor"/>
      </rPr>
      <t>impérativement</t>
    </r>
    <r>
      <rPr>
        <sz val="11"/>
        <color theme="1"/>
        <rFont val="Calibri"/>
        <family val="2"/>
        <scheme val="minor"/>
      </rPr>
      <t xml:space="preserve"> comporter </t>
    </r>
    <r>
      <rPr>
        <b/>
        <sz val="11"/>
        <color theme="1"/>
        <rFont val="Calibri"/>
        <family val="2"/>
        <scheme val="minor"/>
      </rPr>
      <t>l’intégralité</t>
    </r>
    <r>
      <rPr>
        <sz val="11"/>
        <color theme="1"/>
        <rFont val="Calibri"/>
        <family val="2"/>
        <scheme val="minor"/>
      </rPr>
      <t xml:space="preserve"> des données suivantes :</t>
    </r>
  </si>
  <si>
    <t xml:space="preserve">Nb.d'élève(s)
de votre établissement/structure </t>
  </si>
  <si>
    <t>REMARQUE IMPORTANTE DANS LE CAS DE L'UTILISATION D'UNE AUTRE FORME DE FACTURE</t>
  </si>
  <si>
    <t>Identification de la tournée.
Cette nomenclature est propre à votre organisation. 
Elle doit garantir un caractère unique selon les éléments définis ci-dessous : 
- un jour,
- un moment de la journée,
- une série de points de prise en charge vers ou depuis un lieu de scolarisation.
Si un changement survient concernant l'absence d'un élève, sa nomenclature devra changer. 
Par exemple :
- CRPS BUSSIGNY_LUNDI_RETOUR_MATIN_a (pour les tournées complètes)
- CRPS BUSSIGNY_LUNDI_RETOUR_MATIN_b (pour les tournées particulières modifiées, suite à l'absence d'un élève)</t>
  </si>
  <si>
    <r>
      <t>Nombre total d’élèves présents dans</t>
    </r>
    <r>
      <rPr>
        <sz val="11"/>
        <rFont val="Calibri"/>
        <family val="2"/>
        <scheme val="minor"/>
      </rPr>
      <t xml:space="preserve"> le véhicule.</t>
    </r>
  </si>
  <si>
    <t>Nom de l'établissement/structure</t>
  </si>
  <si>
    <t>Nb.d'élève(s)
de votre établissement/
structure</t>
  </si>
  <si>
    <t>Coût de la tournée pour votre établissement/
structure (hors TVA)</t>
  </si>
  <si>
    <r>
      <t xml:space="preserve">Durée de la tournée exprimée </t>
    </r>
    <r>
      <rPr>
        <sz val="11"/>
        <rFont val="Calibri"/>
        <family val="2"/>
        <scheme val="minor"/>
      </rPr>
      <t>en heures</t>
    </r>
    <r>
      <rPr>
        <sz val="11"/>
        <color theme="1"/>
        <rFont val="Calibri"/>
        <family val="2"/>
        <scheme val="minor"/>
      </rPr>
      <t>.
Elle correspond à la somme des 2 éléments suivants :
  - Le nombre d</t>
    </r>
    <r>
      <rPr>
        <sz val="11"/>
        <rFont val="Calibri"/>
        <family val="2"/>
        <scheme val="minor"/>
      </rPr>
      <t>e minutes</t>
    </r>
    <r>
      <rPr>
        <sz val="11"/>
        <color theme="1"/>
        <rFont val="Calibri"/>
        <family val="2"/>
        <scheme val="minor"/>
      </rPr>
      <t xml:space="preserve"> entre le premier lieu de prise en charge et l’arrivée au lieu de destination ;
  - Le nombre d</t>
    </r>
    <r>
      <rPr>
        <sz val="11"/>
        <rFont val="Calibri"/>
        <family val="2"/>
        <scheme val="minor"/>
      </rPr>
      <t>e minutes</t>
    </r>
    <r>
      <rPr>
        <sz val="11"/>
        <color theme="1"/>
        <rFont val="Calibri"/>
        <family val="2"/>
        <scheme val="minor"/>
      </rPr>
      <t xml:space="preserve"> par prise en charge (comprise entre 1 et 5 mn au maximum par élève en transport standard, et entre 1 et 10 mn au maximum par élève en transport équipé).</t>
    </r>
  </si>
  <si>
    <r>
      <t xml:space="preserve">Durée 
</t>
    </r>
    <r>
      <rPr>
        <b/>
        <sz val="11"/>
        <rFont val="Calibri"/>
        <family val="2"/>
        <scheme val="minor"/>
      </rPr>
      <t>(heures</t>
    </r>
    <r>
      <rPr>
        <b/>
        <sz val="11"/>
        <color indexed="8"/>
        <rFont val="Calibri"/>
        <family val="2"/>
        <scheme val="minor"/>
      </rPr>
      <t>)</t>
    </r>
  </si>
  <si>
    <r>
      <t>Du</t>
    </r>
    <r>
      <rPr>
        <sz val="11"/>
        <rFont val="Calibri"/>
        <family val="2"/>
        <scheme val="minor"/>
      </rPr>
      <t>rée (minutes)</t>
    </r>
    <r>
      <rPr>
        <sz val="11"/>
        <color theme="1"/>
        <rFont val="Calibri"/>
        <family val="2"/>
        <scheme val="minor"/>
      </rPr>
      <t xml:space="preserve"> :</t>
    </r>
  </si>
  <si>
    <t>Durée 
(minutes)</t>
  </si>
  <si>
    <t>ANNEXE 6a</t>
  </si>
  <si>
    <r>
      <t>Ce guide décrit et précise les informations ainsi que les calculs attendus dans l'exemple de facture (voir onglet 6b) "Facture - Exemple".
La DGEO propose cet exemple à</t>
    </r>
    <r>
      <rPr>
        <b/>
        <sz val="11"/>
        <rFont val="Calibri"/>
        <family val="2"/>
        <scheme val="minor"/>
      </rPr>
      <t xml:space="preserve"> titre indicatif</t>
    </r>
    <r>
      <rPr>
        <sz val="11"/>
        <rFont val="Calibri"/>
        <family val="2"/>
        <scheme val="minor"/>
      </rPr>
      <t xml:space="preserve"> uniquement (voir REMARQUE IMPORTANTE DANS LE CAS DE L'UTILISATION D'UNE AUTRE FORME DE FACTURE ci-dessous).</t>
    </r>
  </si>
  <si>
    <r>
      <t xml:space="preserve">La DGEO propose à </t>
    </r>
    <r>
      <rPr>
        <b/>
        <sz val="11"/>
        <color theme="1"/>
        <rFont val="Calibri"/>
        <family val="2"/>
        <scheme val="minor"/>
      </rPr>
      <t>titre indicatif</t>
    </r>
    <r>
      <rPr>
        <sz val="11"/>
        <color theme="1"/>
        <rFont val="Calibri"/>
        <family val="2"/>
        <scheme val="minor"/>
      </rPr>
      <t xml:space="preserve"> un fichier d'exemple de facture (onglet 6b Facture - Exemple).
Il permet à l’entreprise de transport de dresser la facture mensuelle regroupant toutes les tournées de chaque établissement/structure.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</si>
</sst>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CHF&quot;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 tint="0.499984740745262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1" fillId="6" borderId="0" applyNumberFormat="0" applyBorder="0" applyAlignment="0" applyProtection="0"/>
  </cellStyleXfs>
  <cellXfs count="88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 applyAlignment="1"/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Border="1"/>
    <xf numFmtId="0" fontId="11" fillId="4" borderId="0" xfId="0" applyFont="1" applyFill="1" applyAlignment="1"/>
    <xf numFmtId="0" fontId="12" fillId="0" borderId="0" xfId="0" applyFont="1" applyAlignment="1"/>
    <xf numFmtId="0" fontId="13" fillId="4" borderId="0" xfId="0" applyFont="1" applyFill="1" applyAlignment="1"/>
    <xf numFmtId="0" fontId="14" fillId="0" borderId="0" xfId="0" applyFont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7" fillId="0" borderId="0" xfId="0" applyFont="1" applyAlignment="1"/>
    <xf numFmtId="0" fontId="8" fillId="0" borderId="0" xfId="0" applyFont="1" applyFill="1" applyBorder="1"/>
    <xf numFmtId="0" fontId="15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vertical="top" wrapText="1"/>
    </xf>
    <xf numFmtId="0" fontId="16" fillId="0" borderId="0" xfId="0" applyFont="1" applyFill="1" applyBorder="1" applyAlignment="1">
      <alignment vertical="top" wrapText="1"/>
    </xf>
    <xf numFmtId="0" fontId="8" fillId="0" borderId="0" xfId="0" applyFont="1" applyAlignment="1">
      <alignment horizontal="left"/>
    </xf>
    <xf numFmtId="4" fontId="16" fillId="0" borderId="0" xfId="0" applyNumberFormat="1" applyFont="1" applyFill="1" applyBorder="1" applyAlignment="1"/>
    <xf numFmtId="0" fontId="3" fillId="0" borderId="0" xfId="0" applyFont="1" applyAlignment="1">
      <alignment vertical="center"/>
    </xf>
    <xf numFmtId="4" fontId="15" fillId="5" borderId="1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9" fillId="0" borderId="0" xfId="0" applyFont="1"/>
    <xf numFmtId="0" fontId="17" fillId="0" borderId="0" xfId="0" applyFont="1" applyFill="1" applyBorder="1"/>
    <xf numFmtId="0" fontId="18" fillId="0" borderId="0" xfId="0" applyFont="1" applyFill="1" applyBorder="1"/>
    <xf numFmtId="4" fontId="18" fillId="0" borderId="0" xfId="0" applyNumberFormat="1" applyFont="1" applyFill="1" applyBorder="1" applyAlignment="1">
      <alignment vertical="center"/>
    </xf>
    <xf numFmtId="0" fontId="8" fillId="0" borderId="0" xfId="0" applyFont="1" applyAlignment="1"/>
    <xf numFmtId="0" fontId="18" fillId="2" borderId="2" xfId="0" applyFont="1" applyFill="1" applyBorder="1" applyAlignment="1">
      <alignment vertical="center"/>
    </xf>
    <xf numFmtId="0" fontId="17" fillId="0" borderId="2" xfId="0" applyFont="1" applyBorder="1" applyAlignment="1"/>
    <xf numFmtId="0" fontId="10" fillId="0" borderId="0" xfId="0" applyFont="1"/>
    <xf numFmtId="0" fontId="10" fillId="0" borderId="0" xfId="0" applyFont="1" applyAlignment="1"/>
    <xf numFmtId="0" fontId="1" fillId="0" borderId="0" xfId="0" applyFont="1"/>
    <xf numFmtId="0" fontId="8" fillId="4" borderId="0" xfId="0" applyFont="1" applyFill="1" applyBorder="1" applyAlignment="1">
      <alignment horizontal="left"/>
    </xf>
    <xf numFmtId="0" fontId="8" fillId="4" borderId="0" xfId="0" applyFont="1" applyFill="1" applyBorder="1" applyAlignment="1"/>
    <xf numFmtId="0" fontId="8" fillId="0" borderId="0" xfId="0" applyFont="1" applyBorder="1" applyAlignment="1">
      <alignment horizontal="left"/>
    </xf>
    <xf numFmtId="3" fontId="15" fillId="5" borderId="1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7" fillId="0" borderId="0" xfId="0" applyFont="1" applyBorder="1" applyAlignment="1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8" fillId="0" borderId="0" xfId="0" applyNumberFormat="1" applyFont="1" applyBorder="1" applyAlignment="1"/>
    <xf numFmtId="0" fontId="8" fillId="0" borderId="0" xfId="0" applyFont="1" applyBorder="1" applyAlignment="1"/>
    <xf numFmtId="3" fontId="15" fillId="0" borderId="1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/>
    </xf>
    <xf numFmtId="10" fontId="17" fillId="0" borderId="0" xfId="0" applyNumberFormat="1" applyFont="1" applyBorder="1" applyAlignment="1">
      <alignment horizontal="center"/>
    </xf>
    <xf numFmtId="10" fontId="17" fillId="0" borderId="0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22" fillId="0" borderId="0" xfId="0" applyFont="1" applyAlignment="1">
      <alignment vertical="top" wrapText="1"/>
    </xf>
    <xf numFmtId="4" fontId="15" fillId="0" borderId="6" xfId="0" applyNumberFormat="1" applyFont="1" applyBorder="1" applyAlignment="1">
      <alignment horizontal="left" vertical="center" wrapText="1"/>
    </xf>
    <xf numFmtId="4" fontId="16" fillId="5" borderId="7" xfId="0" applyNumberFormat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vertical="center"/>
    </xf>
    <xf numFmtId="4" fontId="18" fillId="2" borderId="7" xfId="0" applyNumberFormat="1" applyFont="1" applyFill="1" applyBorder="1" applyAlignment="1">
      <alignment horizontal="center" vertical="center"/>
    </xf>
    <xf numFmtId="0" fontId="17" fillId="0" borderId="8" xfId="0" applyFont="1" applyBorder="1" applyAlignment="1"/>
    <xf numFmtId="0" fontId="18" fillId="2" borderId="9" xfId="0" applyFont="1" applyFill="1" applyBorder="1" applyAlignment="1">
      <alignment vertical="center"/>
    </xf>
    <xf numFmtId="0" fontId="18" fillId="2" borderId="10" xfId="0" applyFont="1" applyFill="1" applyBorder="1" applyAlignment="1">
      <alignment vertical="center"/>
    </xf>
    <xf numFmtId="4" fontId="18" fillId="2" borderId="11" xfId="0" applyNumberFormat="1" applyFont="1" applyFill="1" applyBorder="1" applyAlignment="1">
      <alignment horizontal="center" vertical="center"/>
    </xf>
    <xf numFmtId="0" fontId="20" fillId="6" borderId="1" xfId="1" applyFont="1" applyBorder="1" applyAlignment="1">
      <alignment horizontal="center" vertical="center" wrapText="1"/>
    </xf>
    <xf numFmtId="0" fontId="24" fillId="6" borderId="1" xfId="1" applyFont="1" applyBorder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0" fontId="26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28" fillId="0" borderId="0" xfId="0" applyFont="1" applyAlignment="1">
      <alignment horizontal="left" vertical="center"/>
    </xf>
    <xf numFmtId="0" fontId="29" fillId="6" borderId="1" xfId="1" applyFont="1" applyBorder="1" applyAlignment="1">
      <alignment horizontal="center" vertical="center" wrapText="1"/>
    </xf>
    <xf numFmtId="0" fontId="5" fillId="2" borderId="0" xfId="0" applyFont="1" applyFill="1" applyAlignment="1">
      <alignment horizontal="right"/>
    </xf>
    <xf numFmtId="0" fontId="8" fillId="2" borderId="0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20" fillId="7" borderId="12" xfId="0" applyFont="1" applyFill="1" applyBorder="1" applyAlignment="1">
      <alignment horizontal="left" vertical="center" wrapText="1"/>
    </xf>
    <xf numFmtId="0" fontId="20" fillId="7" borderId="0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6" fillId="0" borderId="13" xfId="0" applyFont="1" applyBorder="1" applyAlignment="1">
      <alignment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colors>
    <mruColors>
      <color rgb="FFDFF1F5"/>
      <color rgb="FFE2F2F6"/>
      <color rgb="FFB8E5EE"/>
      <color rgb="FFF3F9FB"/>
      <color rgb="FFA7D8E3"/>
      <color rgb="FF96E0E2"/>
      <color rgb="FF9BE5FF"/>
      <color rgb="FFFFFF99"/>
      <color rgb="FF7BB6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1275523</xdr:colOff>
      <xdr:row>9</xdr:row>
      <xdr:rowOff>138043</xdr:rowOff>
    </xdr:from>
    <xdr:ext cx="1645478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282045" y="2407478"/>
          <a:ext cx="1645478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">
              <a:rot lat="0" lon="0" rev="10800000"/>
            </a:lightRig>
          </a:scene3d>
          <a:sp3d>
            <a:bevelT w="27940" h="12700"/>
            <a:contourClr>
              <a:srgbClr val="DDDDDD"/>
            </a:contourClr>
          </a:sp3d>
        </a:bodyPr>
        <a:lstStyle/>
        <a:p>
          <a:pPr algn="ctr"/>
          <a:r>
            <a:rPr lang="fr-FR" sz="24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/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FACTURE</a:t>
          </a:r>
          <a:endParaRPr lang="fr-FR" sz="2400" b="1" cap="none" spc="150">
            <a:ln w="11430"/>
            <a:solidFill>
              <a:schemeClr val="accent1"/>
            </a:solidFill>
            <a:effectLst>
              <a:outerShdw blurRad="25400" algn="tl" rotWithShape="0">
                <a:srgbClr val="000000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0</xdr:col>
      <xdr:colOff>765219</xdr:colOff>
      <xdr:row>23</xdr:row>
      <xdr:rowOff>170630</xdr:rowOff>
    </xdr:from>
    <xdr:ext cx="8061183" cy="228395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2128926">
          <a:off x="765219" y="6399152"/>
          <a:ext cx="8061183" cy="228395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4000" b="0" cap="none" spc="0">
              <a:ln w="10160">
                <a:solidFill>
                  <a:schemeClr val="accent1"/>
                </a:solidFill>
                <a:prstDash val="solid"/>
              </a:ln>
              <a:solidFill>
                <a:srgbClr val="FFFFFF"/>
              </a:solidFill>
              <a:effectLst>
                <a:outerShdw blurRad="38100" dist="32000" dir="5400000" algn="tl">
                  <a:srgbClr val="000000">
                    <a:alpha val="30000"/>
                  </a:srgbClr>
                </a:outerShdw>
              </a:effectLst>
            </a:rPr>
            <a:t>EXEMPLE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7AA0-F25A-409B-B4AC-FFC0226A6C9F}">
  <sheetPr>
    <pageSetUpPr fitToPage="1"/>
  </sheetPr>
  <dimension ref="A1:C43"/>
  <sheetViews>
    <sheetView windowProtection="1" tabSelected="1" workbookViewId="0">
      <selection activeCell="C4" sqref="C4"/>
    </sheetView>
  </sheetViews>
  <sheetFormatPr defaultColWidth="10.76171875" defaultRowHeight="15" x14ac:dyDescent="0.2"/>
  <cols>
    <col min="1" max="1" width="35.78125" customWidth="1"/>
    <col min="2" max="2" width="68.203125" customWidth="1"/>
    <col min="3" max="3" width="35.2421875" customWidth="1"/>
  </cols>
  <sheetData>
    <row r="1" spans="1:3" s="1" customFormat="1" ht="29.1" customHeight="1" x14ac:dyDescent="0.25">
      <c r="A1" s="74" t="s">
        <v>45</v>
      </c>
      <c r="B1" s="72"/>
      <c r="C1" s="73" t="s">
        <v>75</v>
      </c>
    </row>
    <row r="2" spans="1:3" s="1" customFormat="1" ht="44.25" customHeight="1" x14ac:dyDescent="0.2">
      <c r="A2" s="87" t="s">
        <v>76</v>
      </c>
      <c r="B2" s="87"/>
      <c r="C2" s="87"/>
    </row>
    <row r="3" spans="1:3" s="1" customFormat="1" ht="30" customHeight="1" x14ac:dyDescent="0.2">
      <c r="A3" s="75" t="s">
        <v>22</v>
      </c>
      <c r="B3" s="75" t="s">
        <v>27</v>
      </c>
      <c r="C3" s="75" t="s">
        <v>23</v>
      </c>
    </row>
    <row r="4" spans="1:3" ht="189" x14ac:dyDescent="0.2">
      <c r="A4" s="68" t="s">
        <v>28</v>
      </c>
      <c r="B4" s="55" t="s">
        <v>66</v>
      </c>
      <c r="C4" s="1" t="s">
        <v>20</v>
      </c>
    </row>
    <row r="5" spans="1:3" ht="68.25" x14ac:dyDescent="0.2">
      <c r="A5" s="68" t="s">
        <v>31</v>
      </c>
      <c r="B5" s="55" t="s">
        <v>29</v>
      </c>
      <c r="C5" s="1">
        <v>4</v>
      </c>
    </row>
    <row r="6" spans="1:3" ht="54.75" x14ac:dyDescent="0.2">
      <c r="A6" s="56" t="s">
        <v>34</v>
      </c>
      <c r="B6" s="55" t="s">
        <v>30</v>
      </c>
      <c r="C6" s="1">
        <v>25</v>
      </c>
    </row>
    <row r="7" spans="1:3" ht="108" x14ac:dyDescent="0.2">
      <c r="A7" s="56" t="s">
        <v>72</v>
      </c>
      <c r="B7" s="55" t="s">
        <v>71</v>
      </c>
      <c r="C7" s="1">
        <v>30</v>
      </c>
    </row>
    <row r="8" spans="1:3" ht="71.25" x14ac:dyDescent="0.25">
      <c r="A8" s="69" t="s">
        <v>33</v>
      </c>
      <c r="B8" s="55" t="s">
        <v>32</v>
      </c>
      <c r="C8" s="1">
        <v>112.5</v>
      </c>
    </row>
    <row r="9" spans="1:3" x14ac:dyDescent="0.2">
      <c r="A9" s="38" t="s">
        <v>21</v>
      </c>
      <c r="B9" s="55" t="s">
        <v>67</v>
      </c>
      <c r="C9" s="1">
        <v>3</v>
      </c>
    </row>
    <row r="10" spans="1:3" ht="88.5" customHeight="1" x14ac:dyDescent="0.2">
      <c r="A10" s="69" t="s">
        <v>64</v>
      </c>
      <c r="B10" s="70" t="s">
        <v>46</v>
      </c>
      <c r="C10" s="71">
        <v>2</v>
      </c>
    </row>
    <row r="11" spans="1:3" ht="108" x14ac:dyDescent="0.2">
      <c r="A11" s="69" t="s">
        <v>47</v>
      </c>
      <c r="B11" s="55" t="s">
        <v>48</v>
      </c>
      <c r="C11" s="1">
        <v>300</v>
      </c>
    </row>
    <row r="13" spans="1:3" s="1" customFormat="1" ht="18.600000000000001" customHeight="1" x14ac:dyDescent="0.2">
      <c r="A13" s="83" t="s">
        <v>65</v>
      </c>
      <c r="B13" s="84"/>
      <c r="C13" s="84"/>
    </row>
    <row r="14" spans="1:3" ht="29.1" customHeight="1" x14ac:dyDescent="0.2">
      <c r="A14" s="85" t="s">
        <v>77</v>
      </c>
      <c r="B14" s="85"/>
      <c r="C14" s="85"/>
    </row>
    <row r="15" spans="1:3" x14ac:dyDescent="0.2">
      <c r="A15" s="1"/>
    </row>
    <row r="16" spans="1:3" x14ac:dyDescent="0.2">
      <c r="A16" s="86" t="s">
        <v>63</v>
      </c>
      <c r="B16" s="86"/>
      <c r="C16" s="86"/>
    </row>
    <row r="17" spans="1:3" x14ac:dyDescent="0.2">
      <c r="A17" s="1"/>
    </row>
    <row r="18" spans="1:3" x14ac:dyDescent="0.2">
      <c r="A18" s="38" t="s">
        <v>44</v>
      </c>
    </row>
    <row r="19" spans="1:3" x14ac:dyDescent="0.2">
      <c r="A19" s="1" t="s">
        <v>39</v>
      </c>
      <c r="B19" s="1"/>
      <c r="C19" s="1"/>
    </row>
    <row r="20" spans="1:3" x14ac:dyDescent="0.2">
      <c r="A20" s="1" t="s">
        <v>10</v>
      </c>
      <c r="B20" s="1"/>
      <c r="C20" s="1"/>
    </row>
    <row r="21" spans="1:3" x14ac:dyDescent="0.2">
      <c r="A21" s="1" t="s">
        <v>11</v>
      </c>
      <c r="B21" s="1"/>
      <c r="C21" s="1"/>
    </row>
    <row r="22" spans="1:3" x14ac:dyDescent="0.2">
      <c r="A22" s="1" t="s">
        <v>49</v>
      </c>
      <c r="B22" s="1"/>
      <c r="C22" s="1"/>
    </row>
    <row r="23" spans="1:3" x14ac:dyDescent="0.2">
      <c r="A23" s="1"/>
      <c r="B23" s="1"/>
      <c r="C23" s="1"/>
    </row>
    <row r="24" spans="1:3" x14ac:dyDescent="0.2">
      <c r="A24" s="1" t="s">
        <v>13</v>
      </c>
      <c r="B24" s="1"/>
      <c r="C24" s="1"/>
    </row>
    <row r="25" spans="1:3" x14ac:dyDescent="0.2">
      <c r="A25" s="1" t="s">
        <v>40</v>
      </c>
      <c r="B25" s="1"/>
      <c r="C25" s="1"/>
    </row>
    <row r="26" spans="1:3" x14ac:dyDescent="0.2">
      <c r="A26" s="1" t="s">
        <v>41</v>
      </c>
      <c r="B26" s="1"/>
      <c r="C26" s="1"/>
    </row>
    <row r="27" spans="1:3" x14ac:dyDescent="0.2">
      <c r="A27" s="1" t="s">
        <v>50</v>
      </c>
      <c r="B27" s="1"/>
      <c r="C27" s="1"/>
    </row>
    <row r="28" spans="1:3" x14ac:dyDescent="0.2">
      <c r="A28" s="1" t="s">
        <v>43</v>
      </c>
      <c r="B28" s="1"/>
      <c r="C28" s="1"/>
    </row>
    <row r="29" spans="1:3" x14ac:dyDescent="0.2">
      <c r="A29" s="1"/>
    </row>
    <row r="30" spans="1:3" x14ac:dyDescent="0.2">
      <c r="A30" s="38" t="s">
        <v>51</v>
      </c>
    </row>
    <row r="31" spans="1:3" x14ac:dyDescent="0.2">
      <c r="A31" s="1" t="s">
        <v>53</v>
      </c>
    </row>
    <row r="32" spans="1:3" x14ac:dyDescent="0.2">
      <c r="A32" s="1" t="s">
        <v>54</v>
      </c>
    </row>
    <row r="33" spans="1:1" x14ac:dyDescent="0.2">
      <c r="A33" s="1" t="s">
        <v>55</v>
      </c>
    </row>
    <row r="34" spans="1:1" x14ac:dyDescent="0.2">
      <c r="A34" s="1"/>
    </row>
    <row r="35" spans="1:1" x14ac:dyDescent="0.2">
      <c r="A35" s="38" t="s">
        <v>52</v>
      </c>
    </row>
    <row r="36" spans="1:1" x14ac:dyDescent="0.2">
      <c r="A36" s="1" t="s">
        <v>56</v>
      </c>
    </row>
    <row r="37" spans="1:1" x14ac:dyDescent="0.2">
      <c r="A37" s="1" t="s">
        <v>57</v>
      </c>
    </row>
    <row r="38" spans="1:1" x14ac:dyDescent="0.2">
      <c r="A38" s="1" t="s">
        <v>58</v>
      </c>
    </row>
    <row r="39" spans="1:1" x14ac:dyDescent="0.2">
      <c r="A39" s="1" t="s">
        <v>73</v>
      </c>
    </row>
    <row r="40" spans="1:1" x14ac:dyDescent="0.2">
      <c r="A40" s="1" t="s">
        <v>59</v>
      </c>
    </row>
    <row r="41" spans="1:1" x14ac:dyDescent="0.2">
      <c r="A41" s="1" t="s">
        <v>60</v>
      </c>
    </row>
    <row r="42" spans="1:1" x14ac:dyDescent="0.2">
      <c r="A42" s="1" t="s">
        <v>61</v>
      </c>
    </row>
    <row r="43" spans="1:1" x14ac:dyDescent="0.2">
      <c r="A43" s="1" t="s">
        <v>62</v>
      </c>
    </row>
  </sheetData>
  <mergeCells count="4">
    <mergeCell ref="A13:C13"/>
    <mergeCell ref="A14:C14"/>
    <mergeCell ref="A16:C16"/>
    <mergeCell ref="A2:C2"/>
  </mergeCells>
  <pageMargins left="0.70866141732283472" right="0.70866141732283472" top="0.74803149606299213" bottom="0.74803149606299213" header="0.31496062992125984" footer="0.31496062992125984"/>
  <pageSetup paperSize="9" scale="94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pageSetUpPr fitToPage="1"/>
  </sheetPr>
  <dimension ref="A1:Y49"/>
  <sheetViews>
    <sheetView windowProtection="1" topLeftCell="A35" zoomScale="115" zoomScaleNormal="115" workbookViewId="0">
      <selection activeCell="G29" sqref="G29"/>
    </sheetView>
  </sheetViews>
  <sheetFormatPr defaultColWidth="10.76171875" defaultRowHeight="15" x14ac:dyDescent="0.2"/>
  <cols>
    <col min="1" max="1" width="44.2578125" style="1" customWidth="1"/>
    <col min="2" max="2" width="13.5859375" style="1" customWidth="1"/>
    <col min="3" max="3" width="10.76171875" style="1" customWidth="1"/>
    <col min="4" max="4" width="10.76171875" style="38" customWidth="1"/>
    <col min="5" max="5" width="12.5078125" style="38" customWidth="1"/>
    <col min="6" max="6" width="12.5078125" style="1" customWidth="1"/>
    <col min="7" max="7" width="16.54296875" style="1" customWidth="1"/>
    <col min="8" max="8" width="22.05859375" style="1" customWidth="1"/>
    <col min="9" max="9" width="18.83203125" style="1" customWidth="1"/>
    <col min="10" max="10" width="14.66015625" style="1" customWidth="1"/>
    <col min="11" max="11" width="15.33203125" style="1" customWidth="1"/>
    <col min="12" max="12" width="15.73828125" style="1" customWidth="1"/>
    <col min="13" max="13" width="17.75390625" style="1" customWidth="1"/>
    <col min="14" max="14" width="11.43359375" style="1" customWidth="1"/>
    <col min="15" max="16384" width="10.76171875" style="1"/>
  </cols>
  <sheetData>
    <row r="1" spans="1:25" ht="18.75" customHeight="1" x14ac:dyDescent="0.25">
      <c r="A1" s="6" t="s">
        <v>9</v>
      </c>
      <c r="B1" s="6"/>
      <c r="C1" s="6"/>
      <c r="F1" s="6"/>
      <c r="G1" s="10"/>
      <c r="H1" s="76" t="s">
        <v>26</v>
      </c>
      <c r="I1" s="6"/>
      <c r="J1" s="6"/>
      <c r="K1" s="6"/>
      <c r="L1" s="7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5" ht="20.25" customHeight="1" x14ac:dyDescent="0.25">
      <c r="A2" s="39" t="s">
        <v>39</v>
      </c>
      <c r="B2" s="77"/>
      <c r="C2" s="77"/>
      <c r="F2" s="9"/>
      <c r="G2" s="38"/>
      <c r="H2" s="10"/>
      <c r="I2" s="10"/>
      <c r="J2" s="10"/>
      <c r="K2" s="10"/>
      <c r="L2" s="10"/>
    </row>
    <row r="3" spans="1:25" ht="20.25" customHeight="1" x14ac:dyDescent="0.2">
      <c r="A3" s="39" t="s">
        <v>10</v>
      </c>
      <c r="B3" s="77"/>
      <c r="C3" s="77"/>
      <c r="F3" s="46" t="s">
        <v>68</v>
      </c>
      <c r="G3" s="46"/>
      <c r="I3" s="10"/>
      <c r="J3" s="10"/>
      <c r="K3" s="10"/>
      <c r="L3" s="10"/>
    </row>
    <row r="4" spans="1:25" ht="20.25" customHeight="1" x14ac:dyDescent="0.2">
      <c r="A4" s="40" t="s">
        <v>11</v>
      </c>
      <c r="B4" s="77"/>
      <c r="C4" s="77"/>
      <c r="F4" s="46" t="s">
        <v>24</v>
      </c>
      <c r="G4" s="46"/>
      <c r="I4" s="10"/>
      <c r="J4" s="10"/>
      <c r="K4" s="10"/>
      <c r="L4" s="10"/>
    </row>
    <row r="5" spans="1:25" ht="20.25" customHeight="1" x14ac:dyDescent="0.2">
      <c r="A5" s="40" t="s">
        <v>12</v>
      </c>
      <c r="B5" s="77"/>
      <c r="C5" s="77"/>
      <c r="F5" s="46" t="s">
        <v>25</v>
      </c>
      <c r="G5" s="46"/>
      <c r="I5" s="10"/>
      <c r="O5" s="3"/>
      <c r="P5" s="3"/>
      <c r="Q5" s="3"/>
      <c r="R5" s="3"/>
    </row>
    <row r="6" spans="1:25" ht="20.25" customHeight="1" x14ac:dyDescent="0.2">
      <c r="B6" s="38"/>
      <c r="C6" s="38"/>
      <c r="F6" s="11"/>
      <c r="G6" s="11"/>
      <c r="I6" s="10"/>
    </row>
    <row r="7" spans="1:25" ht="20.25" customHeight="1" x14ac:dyDescent="0.2">
      <c r="A7" s="14" t="s">
        <v>37</v>
      </c>
      <c r="B7" s="82"/>
      <c r="C7" s="82"/>
      <c r="F7" s="46"/>
      <c r="G7" s="46"/>
      <c r="I7" s="12"/>
    </row>
    <row r="8" spans="1:25" ht="20.25" customHeight="1" x14ac:dyDescent="0.2">
      <c r="A8" s="14" t="s">
        <v>38</v>
      </c>
      <c r="B8" s="67"/>
      <c r="C8" s="67"/>
      <c r="F8" s="46"/>
      <c r="G8" s="46"/>
      <c r="I8" s="12"/>
    </row>
    <row r="9" spans="1:25" ht="20.25" customHeight="1" x14ac:dyDescent="0.25">
      <c r="A9" s="14" t="s">
        <v>13</v>
      </c>
      <c r="B9" s="82"/>
      <c r="C9" s="82"/>
      <c r="D9" s="15"/>
      <c r="E9" s="15"/>
      <c r="F9" s="47"/>
      <c r="G9" s="50"/>
      <c r="H9" s="50"/>
      <c r="I9" s="8"/>
      <c r="J9" s="13"/>
      <c r="K9" s="13"/>
      <c r="L9" s="10"/>
      <c r="O9" s="3"/>
      <c r="P9" s="3"/>
      <c r="Q9" s="3"/>
      <c r="R9" s="3"/>
      <c r="S9" s="3"/>
      <c r="T9" s="3"/>
      <c r="U9" s="3"/>
    </row>
    <row r="10" spans="1:25" ht="20.25" customHeight="1" x14ac:dyDescent="0.25">
      <c r="A10" s="16" t="s">
        <v>40</v>
      </c>
      <c r="B10" s="82"/>
      <c r="C10" s="82"/>
      <c r="D10" s="15"/>
      <c r="E10" s="15"/>
      <c r="F10" s="48"/>
      <c r="G10" s="49"/>
      <c r="H10" s="49"/>
      <c r="I10" s="18"/>
      <c r="J10" s="13"/>
      <c r="K10" s="13"/>
      <c r="L10" s="10"/>
      <c r="O10" s="3"/>
      <c r="P10" s="3"/>
      <c r="Q10" s="3"/>
      <c r="R10" s="3"/>
      <c r="S10" s="3"/>
      <c r="T10" s="3"/>
      <c r="U10" s="3"/>
    </row>
    <row r="11" spans="1:25" ht="20.25" customHeight="1" x14ac:dyDescent="0.25">
      <c r="A11" s="16" t="s">
        <v>41</v>
      </c>
      <c r="B11" s="82"/>
      <c r="C11" s="82"/>
      <c r="D11" s="15"/>
      <c r="E11" s="15"/>
      <c r="F11" s="17"/>
      <c r="G11" s="50"/>
      <c r="H11" s="52"/>
      <c r="I11" s="8"/>
      <c r="J11" s="13"/>
      <c r="K11" s="13"/>
      <c r="L11" s="10"/>
      <c r="M11" s="19"/>
      <c r="O11" s="3"/>
      <c r="P11" s="3"/>
      <c r="Q11" s="3"/>
      <c r="R11" s="3"/>
      <c r="S11" s="3"/>
      <c r="T11" s="3"/>
      <c r="U11" s="3"/>
    </row>
    <row r="12" spans="1:25" ht="20.25" customHeight="1" x14ac:dyDescent="0.25">
      <c r="A12" s="16" t="s">
        <v>42</v>
      </c>
      <c r="B12" s="81">
        <v>3.5</v>
      </c>
      <c r="C12" s="81"/>
      <c r="D12" s="15"/>
      <c r="E12" s="15"/>
      <c r="F12" s="17"/>
      <c r="G12" s="41"/>
      <c r="H12" s="41"/>
      <c r="I12" s="41"/>
      <c r="J12" s="13"/>
      <c r="K12" s="13"/>
      <c r="L12" s="10"/>
      <c r="M12" s="19"/>
      <c r="O12" s="3"/>
      <c r="P12" s="3"/>
      <c r="Q12" s="3"/>
      <c r="R12" s="3"/>
      <c r="S12" s="3"/>
      <c r="T12" s="3"/>
      <c r="U12" s="3"/>
    </row>
    <row r="13" spans="1:25" ht="20.25" customHeight="1" x14ac:dyDescent="0.25">
      <c r="A13" s="16" t="s">
        <v>43</v>
      </c>
      <c r="B13" s="81">
        <v>50</v>
      </c>
      <c r="C13" s="81"/>
      <c r="D13" s="15"/>
      <c r="E13" s="15"/>
      <c r="F13" s="10"/>
      <c r="G13" s="20"/>
      <c r="H13" s="21"/>
      <c r="I13" s="21"/>
      <c r="J13" s="22"/>
      <c r="K13" s="23"/>
      <c r="L13" s="23"/>
      <c r="M13" s="23"/>
    </row>
    <row r="14" spans="1:25" ht="7.5" customHeight="1" thickBot="1" x14ac:dyDescent="0.3">
      <c r="A14" s="24"/>
      <c r="B14" s="24"/>
      <c r="C14" s="24"/>
      <c r="D14" s="36"/>
      <c r="E14" s="36"/>
      <c r="F14" s="10"/>
      <c r="G14" s="45"/>
      <c r="H14" s="45"/>
      <c r="I14" s="45"/>
      <c r="J14" s="45"/>
      <c r="K14" s="45"/>
      <c r="L14" s="19"/>
      <c r="M14" s="25"/>
      <c r="O14" s="3"/>
    </row>
    <row r="15" spans="1:25" ht="19.5" customHeight="1" x14ac:dyDescent="0.2">
      <c r="A15" s="78" t="s">
        <v>18</v>
      </c>
      <c r="B15" s="79"/>
      <c r="C15" s="79"/>
      <c r="D15" s="79"/>
      <c r="E15" s="79"/>
      <c r="F15" s="79"/>
      <c r="G15" s="79"/>
      <c r="H15" s="80"/>
      <c r="M15" s="3"/>
    </row>
    <row r="16" spans="1:25" s="2" customFormat="1" ht="66.95" customHeight="1" x14ac:dyDescent="0.2">
      <c r="A16" s="65" t="s">
        <v>28</v>
      </c>
      <c r="B16" s="65" t="s">
        <v>35</v>
      </c>
      <c r="C16" s="65" t="s">
        <v>34</v>
      </c>
      <c r="D16" s="65" t="s">
        <v>74</v>
      </c>
      <c r="E16" s="65" t="s">
        <v>36</v>
      </c>
      <c r="F16" s="65" t="s">
        <v>21</v>
      </c>
      <c r="G16" s="65" t="s">
        <v>69</v>
      </c>
      <c r="H16" s="66" t="s">
        <v>70</v>
      </c>
      <c r="O16" s="1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1" s="2" customFormat="1" ht="15" customHeight="1" x14ac:dyDescent="0.2">
      <c r="A17" s="57" t="s">
        <v>19</v>
      </c>
      <c r="B17" s="51">
        <v>4</v>
      </c>
      <c r="C17" s="43">
        <v>25</v>
      </c>
      <c r="D17" s="44">
        <v>45</v>
      </c>
      <c r="E17" s="27">
        <f>(C17*$B$12+D17/60*$B$13)</f>
        <v>125</v>
      </c>
      <c r="F17" s="42">
        <v>3</v>
      </c>
      <c r="G17" s="42">
        <v>3</v>
      </c>
      <c r="H17" s="58">
        <f>+E17/F17*G17*B17</f>
        <v>500</v>
      </c>
    </row>
    <row r="18" spans="1:21" s="2" customFormat="1" ht="15" customHeight="1" x14ac:dyDescent="0.2">
      <c r="A18" s="57" t="s">
        <v>20</v>
      </c>
      <c r="B18" s="51">
        <v>4</v>
      </c>
      <c r="C18" s="43">
        <v>25</v>
      </c>
      <c r="D18" s="44">
        <v>30</v>
      </c>
      <c r="E18" s="27">
        <f>(C18*$B$12+D18/60*$B$13)</f>
        <v>112.5</v>
      </c>
      <c r="F18" s="42">
        <v>3</v>
      </c>
      <c r="G18" s="42">
        <v>2</v>
      </c>
      <c r="H18" s="58">
        <f>+E18/F18*G18*B18</f>
        <v>300</v>
      </c>
    </row>
    <row r="19" spans="1:21" s="2" customFormat="1" x14ac:dyDescent="0.2">
      <c r="A19" s="57"/>
      <c r="B19" s="51"/>
      <c r="C19" s="43"/>
      <c r="D19" s="43"/>
      <c r="E19" s="27"/>
      <c r="F19" s="27"/>
      <c r="G19" s="42"/>
      <c r="H19" s="58"/>
    </row>
    <row r="20" spans="1:21" s="2" customFormat="1" ht="15" customHeight="1" x14ac:dyDescent="0.2">
      <c r="A20" s="57"/>
      <c r="B20" s="51"/>
      <c r="C20" s="43"/>
      <c r="D20" s="43"/>
      <c r="E20" s="27"/>
      <c r="F20" s="27"/>
      <c r="G20" s="42"/>
      <c r="H20" s="58"/>
      <c r="K20" s="1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s="2" customFormat="1" ht="15" customHeight="1" x14ac:dyDescent="0.2">
      <c r="A21" s="57"/>
      <c r="B21" s="51"/>
      <c r="C21" s="43"/>
      <c r="D21" s="43"/>
      <c r="E21" s="27"/>
      <c r="F21" s="27"/>
      <c r="G21" s="42"/>
      <c r="H21" s="58"/>
      <c r="K21" s="1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1" s="2" customFormat="1" ht="15" customHeight="1" x14ac:dyDescent="0.2">
      <c r="A22" s="57"/>
      <c r="B22" s="51"/>
      <c r="C22" s="43"/>
      <c r="D22" s="43"/>
      <c r="E22" s="27"/>
      <c r="F22" s="27"/>
      <c r="G22" s="42"/>
      <c r="H22" s="58"/>
      <c r="K22" s="1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:21" s="2" customFormat="1" ht="15" customHeight="1" x14ac:dyDescent="0.2">
      <c r="A23" s="57"/>
      <c r="B23" s="51"/>
      <c r="C23" s="43"/>
      <c r="D23" s="43"/>
      <c r="E23" s="27"/>
      <c r="F23" s="27"/>
      <c r="G23" s="42"/>
      <c r="H23" s="58"/>
      <c r="K23" s="1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1" s="2" customFormat="1" ht="15" customHeight="1" x14ac:dyDescent="0.2">
      <c r="A24" s="57"/>
      <c r="B24" s="51"/>
      <c r="C24" s="43"/>
      <c r="D24" s="43"/>
      <c r="E24" s="27"/>
      <c r="F24" s="27"/>
      <c r="G24" s="42"/>
      <c r="H24" s="58"/>
      <c r="K24" s="1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1:21" s="2" customFormat="1" ht="15" customHeight="1" x14ac:dyDescent="0.2">
      <c r="A25" s="57"/>
      <c r="B25" s="51"/>
      <c r="C25" s="43"/>
      <c r="D25" s="43"/>
      <c r="E25" s="27"/>
      <c r="F25" s="27"/>
      <c r="G25" s="42"/>
      <c r="H25" s="58"/>
      <c r="K25" s="1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 spans="1:21" s="2" customFormat="1" ht="15" customHeight="1" x14ac:dyDescent="0.2">
      <c r="A26" s="57"/>
      <c r="B26" s="51"/>
      <c r="C26" s="43"/>
      <c r="D26" s="43"/>
      <c r="E26" s="27"/>
      <c r="F26" s="27"/>
      <c r="G26" s="42"/>
      <c r="H26" s="58"/>
      <c r="K26" s="1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1" ht="15" customHeight="1" x14ac:dyDescent="0.2">
      <c r="A27" s="57"/>
      <c r="B27" s="51"/>
      <c r="C27" s="43"/>
      <c r="D27" s="43"/>
      <c r="E27" s="27"/>
      <c r="F27" s="27"/>
      <c r="G27" s="42"/>
      <c r="H27" s="58"/>
      <c r="M27" s="3"/>
    </row>
    <row r="28" spans="1:21" ht="15" customHeight="1" x14ac:dyDescent="0.2">
      <c r="A28" s="57"/>
      <c r="B28" s="51"/>
      <c r="C28" s="43"/>
      <c r="D28" s="43"/>
      <c r="E28" s="27"/>
      <c r="F28" s="27"/>
      <c r="G28" s="42"/>
      <c r="H28" s="58"/>
      <c r="M28" s="3"/>
      <c r="N28" s="3"/>
      <c r="O28" s="3"/>
      <c r="P28" s="3"/>
      <c r="Q28" s="3"/>
    </row>
    <row r="29" spans="1:21" ht="15" customHeight="1" x14ac:dyDescent="0.2">
      <c r="A29" s="57"/>
      <c r="B29" s="51"/>
      <c r="C29" s="43"/>
      <c r="D29" s="43"/>
      <c r="E29" s="27"/>
      <c r="F29" s="27"/>
      <c r="G29" s="42"/>
      <c r="H29" s="58"/>
      <c r="M29" s="3"/>
      <c r="N29" s="3"/>
      <c r="O29" s="3"/>
      <c r="P29" s="3"/>
      <c r="Q29" s="3"/>
    </row>
    <row r="30" spans="1:21" s="2" customFormat="1" ht="15" customHeight="1" x14ac:dyDescent="0.2">
      <c r="A30" s="57"/>
      <c r="B30" s="51"/>
      <c r="C30" s="43"/>
      <c r="D30" s="43"/>
      <c r="E30" s="27"/>
      <c r="F30" s="27"/>
      <c r="G30" s="42"/>
      <c r="H30" s="58"/>
      <c r="K30" s="1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 spans="1:21" s="2" customFormat="1" ht="15" customHeight="1" x14ac:dyDescent="0.2">
      <c r="A31" s="57"/>
      <c r="B31" s="51"/>
      <c r="C31" s="43"/>
      <c r="D31" s="43"/>
      <c r="E31" s="27"/>
      <c r="F31" s="27"/>
      <c r="G31" s="42"/>
      <c r="H31" s="58"/>
      <c r="K31" s="1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 spans="1:21" s="2" customFormat="1" ht="15" customHeight="1" x14ac:dyDescent="0.2">
      <c r="A32" s="57"/>
      <c r="B32" s="51"/>
      <c r="C32" s="43"/>
      <c r="D32" s="43"/>
      <c r="E32" s="27"/>
      <c r="F32" s="27"/>
      <c r="G32" s="42"/>
      <c r="H32" s="58"/>
      <c r="K32" s="1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pans="1:21" s="2" customFormat="1" ht="15" customHeight="1" x14ac:dyDescent="0.2">
      <c r="A33" s="57"/>
      <c r="B33" s="51"/>
      <c r="C33" s="43"/>
      <c r="D33" s="43"/>
      <c r="E33" s="27"/>
      <c r="F33" s="27"/>
      <c r="G33" s="42"/>
      <c r="H33" s="58"/>
      <c r="K33" s="1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1:21" s="2" customFormat="1" ht="15" customHeight="1" x14ac:dyDescent="0.2">
      <c r="A34" s="57"/>
      <c r="B34" s="51"/>
      <c r="C34" s="43"/>
      <c r="D34" s="43"/>
      <c r="E34" s="27"/>
      <c r="F34" s="27"/>
      <c r="G34" s="42"/>
      <c r="H34" s="58"/>
      <c r="K34" s="1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 spans="1:21" s="2" customFormat="1" ht="15" customHeight="1" x14ac:dyDescent="0.2">
      <c r="A35" s="57"/>
      <c r="B35" s="51"/>
      <c r="C35" s="43"/>
      <c r="D35" s="43"/>
      <c r="E35" s="27"/>
      <c r="F35" s="27"/>
      <c r="G35" s="42"/>
      <c r="H35" s="58"/>
      <c r="K35" s="1"/>
      <c r="L35" s="26"/>
      <c r="M35" s="26"/>
      <c r="N35" s="26"/>
      <c r="O35" s="26"/>
      <c r="P35" s="26"/>
      <c r="Q35" s="26"/>
      <c r="R35" s="26"/>
      <c r="S35" s="26"/>
      <c r="T35" s="26"/>
      <c r="U35" s="26"/>
    </row>
    <row r="36" spans="1:21" s="2" customFormat="1" ht="15" customHeight="1" x14ac:dyDescent="0.2">
      <c r="A36" s="57"/>
      <c r="B36" s="51"/>
      <c r="C36" s="43"/>
      <c r="D36" s="43"/>
      <c r="E36" s="27"/>
      <c r="F36" s="27"/>
      <c r="G36" s="42"/>
      <c r="H36" s="58"/>
      <c r="K36" s="1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s="2" customFormat="1" ht="15" customHeight="1" x14ac:dyDescent="0.2">
      <c r="A37" s="57"/>
      <c r="B37" s="51"/>
      <c r="C37" s="43"/>
      <c r="D37" s="43"/>
      <c r="E37" s="27"/>
      <c r="F37" s="27"/>
      <c r="G37" s="42"/>
      <c r="H37" s="58"/>
      <c r="K37" s="1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 spans="1:21" ht="15" customHeight="1" x14ac:dyDescent="0.2">
      <c r="A38" s="57"/>
      <c r="B38" s="51"/>
      <c r="C38" s="43"/>
      <c r="D38" s="43"/>
      <c r="E38" s="27"/>
      <c r="F38" s="27"/>
      <c r="G38" s="42"/>
      <c r="H38" s="58"/>
      <c r="M38" s="3"/>
    </row>
    <row r="39" spans="1:21" ht="15" customHeight="1" x14ac:dyDescent="0.2">
      <c r="A39" s="57"/>
      <c r="B39" s="51"/>
      <c r="C39" s="43"/>
      <c r="D39" s="43"/>
      <c r="E39" s="27"/>
      <c r="F39" s="27"/>
      <c r="G39" s="42"/>
      <c r="H39" s="58"/>
      <c r="M39" s="3"/>
      <c r="N39" s="3"/>
      <c r="O39" s="3"/>
      <c r="P39" s="3"/>
      <c r="Q39" s="3"/>
    </row>
    <row r="40" spans="1:21" ht="15" customHeight="1" x14ac:dyDescent="0.2">
      <c r="A40" s="57"/>
      <c r="B40" s="51"/>
      <c r="C40" s="43"/>
      <c r="D40" s="43"/>
      <c r="E40" s="27"/>
      <c r="F40" s="27"/>
      <c r="G40" s="42"/>
      <c r="H40" s="58"/>
      <c r="L40" s="3"/>
      <c r="M40" s="3"/>
      <c r="N40" s="3"/>
    </row>
    <row r="41" spans="1:21" ht="15" customHeight="1" x14ac:dyDescent="0.2">
      <c r="A41" s="57"/>
      <c r="B41" s="51"/>
      <c r="C41" s="43"/>
      <c r="D41" s="43"/>
      <c r="E41" s="27"/>
      <c r="F41" s="27"/>
      <c r="G41" s="42"/>
      <c r="H41" s="58"/>
    </row>
    <row r="42" spans="1:21" ht="15" customHeight="1" x14ac:dyDescent="0.2">
      <c r="A42" s="57"/>
      <c r="B42" s="51"/>
      <c r="C42" s="43"/>
      <c r="D42" s="43"/>
      <c r="E42" s="27"/>
      <c r="F42" s="27"/>
      <c r="G42" s="42"/>
      <c r="H42" s="58"/>
      <c r="I42" s="10"/>
    </row>
    <row r="43" spans="1:21" ht="15" customHeight="1" x14ac:dyDescent="0.2">
      <c r="A43" s="57"/>
      <c r="B43" s="51"/>
      <c r="C43" s="43"/>
      <c r="D43" s="43"/>
      <c r="E43" s="27"/>
      <c r="F43" s="27"/>
      <c r="G43" s="42"/>
      <c r="H43" s="58"/>
      <c r="I43" s="10"/>
      <c r="L43" s="3"/>
    </row>
    <row r="44" spans="1:21" s="5" customFormat="1" ht="20.100000000000001" customHeight="1" x14ac:dyDescent="0.2">
      <c r="A44" s="59" t="s">
        <v>14</v>
      </c>
      <c r="B44" s="34"/>
      <c r="C44" s="34"/>
      <c r="D44" s="34"/>
      <c r="E44" s="34"/>
      <c r="F44" s="34"/>
      <c r="G44" s="34"/>
      <c r="H44" s="60">
        <f>SUM(H17:H43)</f>
        <v>800</v>
      </c>
      <c r="N44" s="29"/>
    </row>
    <row r="45" spans="1:21" s="4" customFormat="1" ht="20.100000000000001" customHeight="1" x14ac:dyDescent="0.2">
      <c r="A45" s="61" t="s">
        <v>15</v>
      </c>
      <c r="B45" s="35"/>
      <c r="C45" s="35"/>
      <c r="D45" s="35"/>
      <c r="E45" s="53">
        <v>8.1000000000000003E-2</v>
      </c>
      <c r="F45" s="54"/>
      <c r="G45" s="35"/>
      <c r="H45" s="60">
        <f>H44*E45</f>
        <v>64.8</v>
      </c>
      <c r="J45" s="30"/>
      <c r="K45" s="30"/>
      <c r="L45" s="30"/>
      <c r="M45" s="31"/>
      <c r="N45" s="32"/>
    </row>
    <row r="46" spans="1:21" s="4" customFormat="1" ht="15.75" thickBot="1" x14ac:dyDescent="0.25">
      <c r="A46" s="62" t="s">
        <v>16</v>
      </c>
      <c r="B46" s="63"/>
      <c r="C46" s="63"/>
      <c r="D46" s="63"/>
      <c r="E46" s="63"/>
      <c r="F46" s="63"/>
      <c r="G46" s="63"/>
      <c r="H46" s="64">
        <f>SUM(H44:H45)</f>
        <v>864.8</v>
      </c>
      <c r="J46" s="28"/>
      <c r="K46" s="28"/>
      <c r="L46" s="28"/>
      <c r="M46" s="28"/>
      <c r="N46" s="28"/>
      <c r="O46" s="28"/>
    </row>
    <row r="47" spans="1:21" ht="18" x14ac:dyDescent="0.2">
      <c r="A47" s="33" t="s">
        <v>17</v>
      </c>
      <c r="B47" s="33"/>
      <c r="C47" s="33"/>
      <c r="D47" s="33"/>
      <c r="E47" s="33"/>
      <c r="F47" s="33"/>
      <c r="G47" s="33"/>
      <c r="H47" s="37"/>
      <c r="I47" s="13"/>
      <c r="J47" s="33"/>
      <c r="K47" s="33"/>
      <c r="L47" s="33"/>
      <c r="M47" s="33"/>
      <c r="N47" s="10"/>
      <c r="O47" s="10"/>
      <c r="R47" s="3"/>
    </row>
    <row r="48" spans="1:21" ht="18" x14ac:dyDescent="0.2">
      <c r="A48" s="10"/>
      <c r="B48" s="10"/>
      <c r="C48" s="10"/>
      <c r="D48" s="10"/>
      <c r="E48" s="10"/>
      <c r="F48" s="10"/>
      <c r="G48" s="36"/>
      <c r="H48" s="10"/>
      <c r="I48" s="10"/>
      <c r="J48" s="10"/>
      <c r="K48" s="10"/>
      <c r="L48" s="10"/>
      <c r="M48" s="10"/>
      <c r="N48" s="10"/>
    </row>
    <row r="49" spans="4:6" x14ac:dyDescent="0.2">
      <c r="D49" s="1"/>
      <c r="E49" s="1"/>
      <c r="F49" s="38"/>
    </row>
  </sheetData>
  <sheetProtection pivotTables="0"/>
  <mergeCells count="11">
    <mergeCell ref="B2:C2"/>
    <mergeCell ref="B3:C3"/>
    <mergeCell ref="B4:C4"/>
    <mergeCell ref="B5:C5"/>
    <mergeCell ref="A15:H15"/>
    <mergeCell ref="B13:C13"/>
    <mergeCell ref="B7:C7"/>
    <mergeCell ref="B9:C9"/>
    <mergeCell ref="B10:C10"/>
    <mergeCell ref="B11:C11"/>
    <mergeCell ref="B12:C12"/>
  </mergeCells>
  <pageMargins left="0.31496062992125984" right="0.31496062992125984" top="0.39370078740157483" bottom="0.39370078740157483" header="0.11811023622047245" footer="0.11811023622047245"/>
  <pageSetup paperSize="9" scale="6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9"/>
  <dimension ref="A1:A10"/>
  <sheetViews>
    <sheetView windowProtection="1" workbookViewId="0">
      <selection activeCell="A10" sqref="A10"/>
    </sheetView>
  </sheetViews>
  <sheetFormatPr defaultColWidth="10.76171875" defaultRowHeight="15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6a) Facture - Guide de lecture</vt:lpstr>
      <vt:lpstr> 6b) Facture - Exemple</vt:lpstr>
      <vt:lpstr>A la carte</vt:lpstr>
      <vt:lpstr> 6b) Facture - Exemple!Zone_d_impression</vt:lpstr>
      <vt:lpstr>6a) Facture - Guide de lecture!Zone_d_impression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Ponnaz Hélène</dc:creator>
  <cp:lastModifiedBy>Fellrath Catherine</cp:lastModifiedBy>
  <cp:lastPrinted>2025-02-04T08:58:53Z</cp:lastPrinted>
  <dcterms:created xsi:type="dcterms:W3CDTF">2019-05-10T06:46:27Z</dcterms:created>
  <dcterms:modified xsi:type="dcterms:W3CDTF">2025-06-16T07:48:35Z</dcterms:modified>
</cp:coreProperties>
</file>